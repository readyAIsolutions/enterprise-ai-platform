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orma 24mo" sheetId="1" state="visible" r:id="rId1"/>
    <sheet name="Assumptions" sheetId="2" state="visible" r:id="rId2"/>
    <sheet name="Year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3" borderId="1" pivotButton="0" quotePrefix="0" xfId="0"/>
    <xf numFmtId="165" fontId="0" fillId="3" borderId="1" pivotButton="0" quotePrefix="0" xfId="0"/>
    <xf numFmtId="3" fontId="0" fillId="3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LINE \ MONTH</t>
        </is>
      </c>
      <c r="B1" s="2" t="inlineStr">
        <is>
          <t>M1</t>
        </is>
      </c>
      <c r="C1" s="2" t="inlineStr">
        <is>
          <t>M2</t>
        </is>
      </c>
      <c r="D1" s="2" t="inlineStr">
        <is>
          <t>M3</t>
        </is>
      </c>
      <c r="E1" s="2" t="inlineStr">
        <is>
          <t>M4</t>
        </is>
      </c>
      <c r="F1" s="2" t="inlineStr">
        <is>
          <t>M5</t>
        </is>
      </c>
      <c r="G1" s="2" t="inlineStr">
        <is>
          <t>M6</t>
        </is>
      </c>
      <c r="H1" s="2" t="inlineStr">
        <is>
          <t>M7</t>
        </is>
      </c>
      <c r="I1" s="2" t="inlineStr">
        <is>
          <t>M8</t>
        </is>
      </c>
      <c r="J1" s="2" t="inlineStr">
        <is>
          <t>M9</t>
        </is>
      </c>
      <c r="K1" s="2" t="inlineStr">
        <is>
          <t>M10</t>
        </is>
      </c>
      <c r="L1" s="2" t="inlineStr">
        <is>
          <t>M11</t>
        </is>
      </c>
      <c r="M1" s="2" t="inlineStr">
        <is>
          <t>M12</t>
        </is>
      </c>
      <c r="N1" s="2" t="inlineStr">
        <is>
          <t>M13</t>
        </is>
      </c>
      <c r="O1" s="2" t="inlineStr">
        <is>
          <t>M14</t>
        </is>
      </c>
      <c r="P1" s="2" t="inlineStr">
        <is>
          <t>M15</t>
        </is>
      </c>
      <c r="Q1" s="2" t="inlineStr">
        <is>
          <t>M16</t>
        </is>
      </c>
      <c r="R1" s="2" t="inlineStr">
        <is>
          <t>M17</t>
        </is>
      </c>
      <c r="S1" s="2" t="inlineStr">
        <is>
          <t>M18</t>
        </is>
      </c>
      <c r="T1" s="2" t="inlineStr">
        <is>
          <t>M19</t>
        </is>
      </c>
      <c r="U1" s="2" t="inlineStr">
        <is>
          <t>M20</t>
        </is>
      </c>
      <c r="V1" s="2" t="inlineStr">
        <is>
          <t>M21</t>
        </is>
      </c>
      <c r="W1" s="2" t="inlineStr">
        <is>
          <t>M22</t>
        </is>
      </c>
      <c r="X1" s="2" t="inlineStr">
        <is>
          <t>M23</t>
        </is>
      </c>
      <c r="Y1" s="2" t="inlineStr">
        <is>
          <t>M24</t>
        </is>
      </c>
    </row>
    <row r="3">
      <c r="A3" t="inlineStr">
        <is>
          <t>Co-build client revenue</t>
        </is>
      </c>
      <c r="B3">
        <f>ROUND((Assumptions!$C$9*Assumptions!$C$8/12)*0.2,0)</f>
        <v/>
      </c>
      <c r="C3">
        <f>ROUND((Assumptions!$C$9*Assumptions!$C$8/12)*0.2,0)</f>
        <v/>
      </c>
      <c r="D3">
        <f>ROUND((Assumptions!$C$9*Assumptions!$C$8/12)*0.2,0)</f>
        <v/>
      </c>
      <c r="E3">
        <f>ROUND((Assumptions!$C$9*Assumptions!$C$8/12)*0.2,0)</f>
        <v/>
      </c>
      <c r="F3">
        <f>ROUND((Assumptions!$C$9*Assumptions!$C$8/12)*0.2,0)</f>
        <v/>
      </c>
      <c r="G3">
        <f>ROUND((Assumptions!$C$9*Assumptions!$C$8/12)*0.2,0)</f>
        <v/>
      </c>
      <c r="H3">
        <f>ROUND((Assumptions!$C$9*Assumptions!$C$8/12)*0.5,0)</f>
        <v/>
      </c>
      <c r="I3">
        <f>ROUND((Assumptions!$C$9*Assumptions!$C$8/12)*0.5,0)</f>
        <v/>
      </c>
      <c r="J3">
        <f>ROUND((Assumptions!$C$9*Assumptions!$C$8/12)*0.5,0)</f>
        <v/>
      </c>
      <c r="K3">
        <f>ROUND((Assumptions!$C$9*Assumptions!$C$8/12)*0.5,0)</f>
        <v/>
      </c>
      <c r="L3">
        <f>ROUND((Assumptions!$C$9*Assumptions!$C$8/12)*0.5,0)</f>
        <v/>
      </c>
      <c r="M3">
        <f>ROUND((Assumptions!$C$9*Assumptions!$C$8/12)*0.5,0)</f>
        <v/>
      </c>
      <c r="N3">
        <f>ROUND(Assumptions!$C$12*Assumptions!$C$11/12,0)</f>
        <v/>
      </c>
      <c r="O3">
        <f>ROUND(Assumptions!$C$12*Assumptions!$C$11/12,0)</f>
        <v/>
      </c>
      <c r="P3">
        <f>ROUND(Assumptions!$C$12*Assumptions!$C$11/12,0)</f>
        <v/>
      </c>
      <c r="Q3">
        <f>ROUND(Assumptions!$C$12*Assumptions!$C$11/12,0)</f>
        <v/>
      </c>
      <c r="R3">
        <f>ROUND(Assumptions!$C$12*Assumptions!$C$11/12,0)</f>
        <v/>
      </c>
      <c r="S3">
        <f>ROUND(Assumptions!$C$12*Assumptions!$C$11/12,0)</f>
        <v/>
      </c>
      <c r="T3">
        <f>ROUND(Assumptions!$C$12*Assumptions!$C$11/12,0)</f>
        <v/>
      </c>
      <c r="U3">
        <f>ROUND(Assumptions!$C$12*Assumptions!$C$11/12,0)</f>
        <v/>
      </c>
      <c r="V3">
        <f>ROUND(Assumptions!$C$12*Assumptions!$C$11/12,0)</f>
        <v/>
      </c>
      <c r="W3">
        <f>ROUND(Assumptions!$C$12*Assumptions!$C$11/12,0)</f>
        <v/>
      </c>
      <c r="X3">
        <f>ROUND(Assumptions!$C$12*Assumptions!$C$11/12,0)</f>
        <v/>
      </c>
      <c r="Y3">
        <f>ROUND(Assumptions!$C$12*Assumptions!$C$11/12,0)</f>
        <v/>
      </c>
    </row>
    <row r="4">
      <c r="A4" t="inlineStr">
        <is>
          <t>Hosted SaaS revenue</t>
        </is>
      </c>
      <c r="B4">
        <f>Assumptions!$C$10*Assumptions!$C$6</f>
        <v/>
      </c>
      <c r="C4">
        <f>Assumptions!$C$10*Assumptions!$C$6</f>
        <v/>
      </c>
      <c r="D4">
        <f>Assumptions!$C$10*Assumptions!$C$6</f>
        <v/>
      </c>
      <c r="E4">
        <f>Assumptions!$C$10*Assumptions!$C$6</f>
        <v/>
      </c>
      <c r="F4">
        <f>Assumptions!$C$10*Assumptions!$C$6</f>
        <v/>
      </c>
      <c r="G4">
        <f>Assumptions!$C$10*Assumptions!$C$6</f>
        <v/>
      </c>
      <c r="H4">
        <f>Assumptions!$C$10*Assumptions!$C$6</f>
        <v/>
      </c>
      <c r="I4">
        <f>Assumptions!$C$10*Assumptions!$C$6</f>
        <v/>
      </c>
      <c r="J4">
        <f>Assumptions!$C$10*Assumptions!$C$6</f>
        <v/>
      </c>
      <c r="K4">
        <f>Assumptions!$C$10*Assumptions!$C$6</f>
        <v/>
      </c>
      <c r="L4">
        <f>Assumptions!$C$10*Assumptions!$C$6</f>
        <v/>
      </c>
      <c r="M4">
        <f>Assumptions!$C$10*Assumptions!$C$6</f>
        <v/>
      </c>
      <c r="N4">
        <f>Assumptions!$C$13*Assumptions!$C$6</f>
        <v/>
      </c>
      <c r="O4">
        <f>Assumptions!$C$13*Assumptions!$C$6</f>
        <v/>
      </c>
      <c r="P4">
        <f>Assumptions!$C$13*Assumptions!$C$6</f>
        <v/>
      </c>
      <c r="Q4">
        <f>Assumptions!$C$13*Assumptions!$C$6</f>
        <v/>
      </c>
      <c r="R4">
        <f>Assumptions!$C$13*Assumptions!$C$6</f>
        <v/>
      </c>
      <c r="S4">
        <f>Assumptions!$C$13*Assumptions!$C$6</f>
        <v/>
      </c>
      <c r="T4">
        <f>Assumptions!$C$13*Assumptions!$C$6</f>
        <v/>
      </c>
      <c r="U4">
        <f>Assumptions!$C$13*Assumptions!$C$6</f>
        <v/>
      </c>
      <c r="V4">
        <f>Assumptions!$C$13*Assumptions!$C$6</f>
        <v/>
      </c>
      <c r="W4">
        <f>Assumptions!$C$13*Assumptions!$C$6</f>
        <v/>
      </c>
      <c r="X4">
        <f>Assumptions!$C$13*Assumptions!$C$6</f>
        <v/>
      </c>
      <c r="Y4">
        <f>Assumptions!$C$13*Assumptions!$C$6</f>
        <v/>
      </c>
    </row>
    <row r="5">
      <c r="A5" t="inlineStr">
        <is>
          <t>White-label revenue</t>
        </is>
      </c>
      <c r="B5">
        <f>Assumptions!$C$14*Assumptions!$C$7</f>
        <v/>
      </c>
      <c r="C5">
        <f>Assumptions!$C$14*Assumptions!$C$7</f>
        <v/>
      </c>
      <c r="D5">
        <f>Assumptions!$C$14*Assumptions!$C$7</f>
        <v/>
      </c>
      <c r="E5">
        <f>Assumptions!$C$14*Assumptions!$C$7</f>
        <v/>
      </c>
      <c r="F5">
        <f>Assumptions!$C$14*Assumptions!$C$7</f>
        <v/>
      </c>
      <c r="G5">
        <f>Assumptions!$C$14*Assumptions!$C$7</f>
        <v/>
      </c>
      <c r="H5">
        <f>Assumptions!$C$14*Assumptions!$C$7</f>
        <v/>
      </c>
      <c r="I5">
        <f>Assumptions!$C$14*Assumptions!$C$7</f>
        <v/>
      </c>
      <c r="J5">
        <f>Assumptions!$C$14*Assumptions!$C$7</f>
        <v/>
      </c>
      <c r="K5">
        <f>Assumptions!$C$14*Assumptions!$C$7</f>
        <v/>
      </c>
      <c r="L5">
        <f>Assumptions!$C$14*Assumptions!$C$7</f>
        <v/>
      </c>
      <c r="M5">
        <f>Assumptions!$C$14*Assumptions!$C$7</f>
        <v/>
      </c>
      <c r="N5">
        <f>Assumptions!$C$14*Assumptions!$C$7</f>
        <v/>
      </c>
      <c r="O5">
        <f>Assumptions!$C$14*Assumptions!$C$7</f>
        <v/>
      </c>
      <c r="P5">
        <f>Assumptions!$C$14*Assumptions!$C$7</f>
        <v/>
      </c>
      <c r="Q5">
        <f>Assumptions!$C$14*Assumptions!$C$7</f>
        <v/>
      </c>
      <c r="R5">
        <f>Assumptions!$C$14*Assumptions!$C$7</f>
        <v/>
      </c>
      <c r="S5">
        <f>Assumptions!$C$14*Assumptions!$C$7</f>
        <v/>
      </c>
      <c r="T5">
        <f>Assumptions!$C$14*Assumptions!$C$7</f>
        <v/>
      </c>
      <c r="U5">
        <f>Assumptions!$C$14*Assumptions!$C$7</f>
        <v/>
      </c>
      <c r="V5">
        <f>Assumptions!$C$14*Assumptions!$C$7</f>
        <v/>
      </c>
      <c r="W5">
        <f>Assumptions!$C$14*Assumptions!$C$7</f>
        <v/>
      </c>
      <c r="X5">
        <f>Assumptions!$C$14*Assumptions!$C$7</f>
        <v/>
      </c>
      <c r="Y5">
        <f>Assumptions!$C$14*Assumptions!$C$7</f>
        <v/>
      </c>
    </row>
    <row r="6">
      <c r="A6" t="inlineStr">
        <is>
          <t>TOTAL REVENUE</t>
        </is>
      </c>
      <c r="B6" s="3">
        <f>SUM(B3:B5)</f>
        <v/>
      </c>
      <c r="C6" s="3">
        <f>SUM(C3:C5)</f>
        <v/>
      </c>
      <c r="D6" s="3">
        <f>SUM(D3:D5)</f>
        <v/>
      </c>
      <c r="E6" s="3">
        <f>SUM(E3:E5)</f>
        <v/>
      </c>
      <c r="F6" s="3">
        <f>SUM(F3:F5)</f>
        <v/>
      </c>
      <c r="G6" s="3">
        <f>SUM(G3:G5)</f>
        <v/>
      </c>
      <c r="H6" s="3">
        <f>SUM(H3:H5)</f>
        <v/>
      </c>
      <c r="I6" s="3">
        <f>SUM(I3:I5)</f>
        <v/>
      </c>
      <c r="J6" s="3">
        <f>SUM(J3:J5)</f>
        <v/>
      </c>
      <c r="K6" s="3">
        <f>SUM(K3:K5)</f>
        <v/>
      </c>
      <c r="L6" s="3">
        <f>SUM(L3:L5)</f>
        <v/>
      </c>
      <c r="M6" s="3">
        <f>SUM(M3:M5)</f>
        <v/>
      </c>
      <c r="N6" s="3">
        <f>SUM(N3:N5)</f>
        <v/>
      </c>
      <c r="O6" s="3">
        <f>SUM(O3:O5)</f>
        <v/>
      </c>
      <c r="P6" s="3">
        <f>SUM(P3:P5)</f>
        <v/>
      </c>
      <c r="Q6" s="3">
        <f>SUM(Q3:Q5)</f>
        <v/>
      </c>
      <c r="R6" s="3">
        <f>SUM(R3:R5)</f>
        <v/>
      </c>
      <c r="S6" s="3">
        <f>SUM(S3:S5)</f>
        <v/>
      </c>
      <c r="T6" s="3">
        <f>SUM(T3:T5)</f>
        <v/>
      </c>
      <c r="U6" s="3">
        <f>SUM(U3:U5)</f>
        <v/>
      </c>
      <c r="V6" s="3">
        <f>SUM(V3:V5)</f>
        <v/>
      </c>
      <c r="W6" s="3">
        <f>SUM(W3:W5)</f>
        <v/>
      </c>
      <c r="X6" s="3">
        <f>SUM(X3:X5)</f>
        <v/>
      </c>
      <c r="Y6" s="3">
        <f>SUM(Y3:Y5)</f>
        <v/>
      </c>
    </row>
    <row r="7">
      <c r="A7" t="inlineStr">
        <is>
          <t>Costs</t>
        </is>
      </c>
    </row>
    <row r="8">
      <c r="A8" t="inlineStr">
        <is>
          <t>Model/API + GPU</t>
        </is>
      </c>
      <c r="B8">
        <f>Assumptions!$C$15</f>
        <v/>
      </c>
      <c r="C8">
        <f>Assumptions!$C$15</f>
        <v/>
      </c>
      <c r="D8">
        <f>Assumptions!$C$15</f>
        <v/>
      </c>
      <c r="E8">
        <f>Assumptions!$C$15</f>
        <v/>
      </c>
      <c r="F8">
        <f>Assumptions!$C$15</f>
        <v/>
      </c>
      <c r="G8">
        <f>Assumptions!$C$15</f>
        <v/>
      </c>
      <c r="H8">
        <f>Assumptions!$C$15</f>
        <v/>
      </c>
      <c r="I8">
        <f>Assumptions!$C$15</f>
        <v/>
      </c>
      <c r="J8">
        <f>Assumptions!$C$15</f>
        <v/>
      </c>
      <c r="K8">
        <f>Assumptions!$C$15</f>
        <v/>
      </c>
      <c r="L8">
        <f>Assumptions!$C$15</f>
        <v/>
      </c>
      <c r="M8">
        <f>Assumptions!$C$15</f>
        <v/>
      </c>
      <c r="N8">
        <f>Assumptions!$C$15</f>
        <v/>
      </c>
      <c r="O8">
        <f>Assumptions!$C$15</f>
        <v/>
      </c>
      <c r="P8">
        <f>Assumptions!$C$15</f>
        <v/>
      </c>
      <c r="Q8">
        <f>Assumptions!$C$15</f>
        <v/>
      </c>
      <c r="R8">
        <f>Assumptions!$C$15</f>
        <v/>
      </c>
      <c r="S8">
        <f>Assumptions!$C$15</f>
        <v/>
      </c>
      <c r="T8">
        <f>Assumptions!$C$15</f>
        <v/>
      </c>
      <c r="U8">
        <f>Assumptions!$C$15</f>
        <v/>
      </c>
      <c r="V8">
        <f>Assumptions!$C$15</f>
        <v/>
      </c>
      <c r="W8">
        <f>Assumptions!$C$15</f>
        <v/>
      </c>
      <c r="X8">
        <f>Assumptions!$C$15</f>
        <v/>
      </c>
      <c r="Y8">
        <f>Assumptions!$C$15</f>
        <v/>
      </c>
    </row>
    <row r="9">
      <c r="A9" t="inlineStr">
        <is>
          <t>Founder draw</t>
        </is>
      </c>
      <c r="B9">
        <f>Assumptions!$C$16</f>
        <v/>
      </c>
      <c r="C9">
        <f>Assumptions!$C$16</f>
        <v/>
      </c>
      <c r="D9">
        <f>Assumptions!$C$16</f>
        <v/>
      </c>
      <c r="E9">
        <f>Assumptions!$C$16</f>
        <v/>
      </c>
      <c r="F9">
        <f>Assumptions!$C$16</f>
        <v/>
      </c>
      <c r="G9">
        <f>Assumptions!$C$16</f>
        <v/>
      </c>
      <c r="H9">
        <f>Assumptions!$C$16</f>
        <v/>
      </c>
      <c r="I9">
        <f>Assumptions!$C$16</f>
        <v/>
      </c>
      <c r="J9">
        <f>Assumptions!$C$16</f>
        <v/>
      </c>
      <c r="K9">
        <f>Assumptions!$C$16</f>
        <v/>
      </c>
      <c r="L9">
        <f>Assumptions!$C$16</f>
        <v/>
      </c>
      <c r="M9">
        <f>Assumptions!$C$16</f>
        <v/>
      </c>
      <c r="N9">
        <f>Assumptions!$C$16</f>
        <v/>
      </c>
      <c r="O9">
        <f>Assumptions!$C$16</f>
        <v/>
      </c>
      <c r="P9">
        <f>Assumptions!$C$16</f>
        <v/>
      </c>
      <c r="Q9">
        <f>Assumptions!$C$16</f>
        <v/>
      </c>
      <c r="R9">
        <f>Assumptions!$C$16</f>
        <v/>
      </c>
      <c r="S9">
        <f>Assumptions!$C$16</f>
        <v/>
      </c>
      <c r="T9">
        <f>Assumptions!$C$16</f>
        <v/>
      </c>
      <c r="U9">
        <f>Assumptions!$C$16</f>
        <v/>
      </c>
      <c r="V9">
        <f>Assumptions!$C$16</f>
        <v/>
      </c>
      <c r="W9">
        <f>Assumptions!$C$16</f>
        <v/>
      </c>
      <c r="X9">
        <f>Assumptions!$C$16</f>
        <v/>
      </c>
      <c r="Y9">
        <f>Assumptions!$C$16</f>
        <v/>
      </c>
    </row>
    <row r="10">
      <c r="A10" t="inlineStr">
        <is>
          <t>Infra</t>
        </is>
      </c>
      <c r="B10">
        <f>Assumptions!$C$17</f>
        <v/>
      </c>
      <c r="C10">
        <f>Assumptions!$C$17</f>
        <v/>
      </c>
      <c r="D10">
        <f>Assumptions!$C$17</f>
        <v/>
      </c>
      <c r="E10">
        <f>Assumptions!$C$17</f>
        <v/>
      </c>
      <c r="F10">
        <f>Assumptions!$C$17</f>
        <v/>
      </c>
      <c r="G10">
        <f>Assumptions!$C$17</f>
        <v/>
      </c>
      <c r="H10">
        <f>Assumptions!$C$17</f>
        <v/>
      </c>
      <c r="I10">
        <f>Assumptions!$C$17</f>
        <v/>
      </c>
      <c r="J10">
        <f>Assumptions!$C$17</f>
        <v/>
      </c>
      <c r="K10">
        <f>Assumptions!$C$17</f>
        <v/>
      </c>
      <c r="L10">
        <f>Assumptions!$C$17</f>
        <v/>
      </c>
      <c r="M10">
        <f>Assumptions!$C$17</f>
        <v/>
      </c>
      <c r="N10">
        <f>Assumptions!$C$17</f>
        <v/>
      </c>
      <c r="O10">
        <f>Assumptions!$C$17</f>
        <v/>
      </c>
      <c r="P10">
        <f>Assumptions!$C$17</f>
        <v/>
      </c>
      <c r="Q10">
        <f>Assumptions!$C$17</f>
        <v/>
      </c>
      <c r="R10">
        <f>Assumptions!$C$17</f>
        <v/>
      </c>
      <c r="S10">
        <f>Assumptions!$C$17</f>
        <v/>
      </c>
      <c r="T10">
        <f>Assumptions!$C$17</f>
        <v/>
      </c>
      <c r="U10">
        <f>Assumptions!$C$17</f>
        <v/>
      </c>
      <c r="V10">
        <f>Assumptions!$C$17</f>
        <v/>
      </c>
      <c r="W10">
        <f>Assumptions!$C$17</f>
        <v/>
      </c>
      <c r="X10">
        <f>Assumptions!$C$17</f>
        <v/>
      </c>
      <c r="Y10">
        <f>Assumptions!$C$17</f>
        <v/>
      </c>
    </row>
    <row r="11">
      <c r="A11" t="inlineStr">
        <is>
          <t>Mktg &amp; sales</t>
        </is>
      </c>
      <c r="B11">
        <f>Assumptions!$C$18</f>
        <v/>
      </c>
      <c r="C11">
        <f>Assumptions!$C$18</f>
        <v/>
      </c>
      <c r="D11">
        <f>Assumptions!$C$18</f>
        <v/>
      </c>
      <c r="E11">
        <f>Assumptions!$C$18</f>
        <v/>
      </c>
      <c r="F11">
        <f>Assumptions!$C$18</f>
        <v/>
      </c>
      <c r="G11">
        <f>Assumptions!$C$18</f>
        <v/>
      </c>
      <c r="H11">
        <f>Assumptions!$C$18</f>
        <v/>
      </c>
      <c r="I11">
        <f>Assumptions!$C$18</f>
        <v/>
      </c>
      <c r="J11">
        <f>Assumptions!$C$18</f>
        <v/>
      </c>
      <c r="K11">
        <f>Assumptions!$C$18</f>
        <v/>
      </c>
      <c r="L11">
        <f>Assumptions!$C$18</f>
        <v/>
      </c>
      <c r="M11">
        <f>Assumptions!$C$18</f>
        <v/>
      </c>
      <c r="N11">
        <f>Assumptions!$C$18</f>
        <v/>
      </c>
      <c r="O11">
        <f>Assumptions!$C$18</f>
        <v/>
      </c>
      <c r="P11">
        <f>Assumptions!$C$18</f>
        <v/>
      </c>
      <c r="Q11">
        <f>Assumptions!$C$18</f>
        <v/>
      </c>
      <c r="R11">
        <f>Assumptions!$C$18</f>
        <v/>
      </c>
      <c r="S11">
        <f>Assumptions!$C$18</f>
        <v/>
      </c>
      <c r="T11">
        <f>Assumptions!$C$18</f>
        <v/>
      </c>
      <c r="U11">
        <f>Assumptions!$C$18</f>
        <v/>
      </c>
      <c r="V11">
        <f>Assumptions!$C$18</f>
        <v/>
      </c>
      <c r="W11">
        <f>Assumptions!$C$18</f>
        <v/>
      </c>
      <c r="X11">
        <f>Assumptions!$C$18</f>
        <v/>
      </c>
      <c r="Y11">
        <f>Assumptions!$C$18</f>
        <v/>
      </c>
    </row>
    <row r="12">
      <c r="A12" t="inlineStr">
        <is>
          <t>Legal/acctg</t>
        </is>
      </c>
      <c r="B12">
        <f>Assumptions!$C$19</f>
        <v/>
      </c>
      <c r="C12">
        <f>Assumptions!$C$19</f>
        <v/>
      </c>
      <c r="D12">
        <f>Assumptions!$C$19</f>
        <v/>
      </c>
      <c r="E12">
        <f>Assumptions!$C$19</f>
        <v/>
      </c>
      <c r="F12">
        <f>Assumptions!$C$19</f>
        <v/>
      </c>
      <c r="G12">
        <f>Assumptions!$C$19</f>
        <v/>
      </c>
      <c r="H12">
        <f>Assumptions!$C$19</f>
        <v/>
      </c>
      <c r="I12">
        <f>Assumptions!$C$19</f>
        <v/>
      </c>
      <c r="J12">
        <f>Assumptions!$C$19</f>
        <v/>
      </c>
      <c r="K12">
        <f>Assumptions!$C$19</f>
        <v/>
      </c>
      <c r="L12">
        <f>Assumptions!$C$19</f>
        <v/>
      </c>
      <c r="M12">
        <f>Assumptions!$C$19</f>
        <v/>
      </c>
      <c r="N12">
        <f>Assumptions!$C$19</f>
        <v/>
      </c>
      <c r="O12">
        <f>Assumptions!$C$19</f>
        <v/>
      </c>
      <c r="P12">
        <f>Assumptions!$C$19</f>
        <v/>
      </c>
      <c r="Q12">
        <f>Assumptions!$C$19</f>
        <v/>
      </c>
      <c r="R12">
        <f>Assumptions!$C$19</f>
        <v/>
      </c>
      <c r="S12">
        <f>Assumptions!$C$19</f>
        <v/>
      </c>
      <c r="T12">
        <f>Assumptions!$C$19</f>
        <v/>
      </c>
      <c r="U12">
        <f>Assumptions!$C$19</f>
        <v/>
      </c>
      <c r="V12">
        <f>Assumptions!$C$19</f>
        <v/>
      </c>
      <c r="W12">
        <f>Assumptions!$C$19</f>
        <v/>
      </c>
      <c r="X12">
        <f>Assumptions!$C$19</f>
        <v/>
      </c>
      <c r="Y12">
        <f>Assumptions!$C$19</f>
        <v/>
      </c>
    </row>
    <row r="13">
      <c r="A13" t="inlineStr">
        <is>
          <t>TOTAL COSTS</t>
        </is>
      </c>
      <c r="B13" s="3">
        <f>SUM(B8:B12)</f>
        <v/>
      </c>
      <c r="C13" s="3">
        <f>SUM(C8:C12)</f>
        <v/>
      </c>
      <c r="D13" s="3">
        <f>SUM(D8:D12)</f>
        <v/>
      </c>
      <c r="E13" s="3">
        <f>SUM(E8:E12)</f>
        <v/>
      </c>
      <c r="F13" s="3">
        <f>SUM(F8:F12)</f>
        <v/>
      </c>
      <c r="G13" s="3">
        <f>SUM(G8:G12)</f>
        <v/>
      </c>
      <c r="H13" s="3">
        <f>SUM(H8:H12)</f>
        <v/>
      </c>
      <c r="I13" s="3">
        <f>SUM(I8:I12)</f>
        <v/>
      </c>
      <c r="J13" s="3">
        <f>SUM(J8:J12)</f>
        <v/>
      </c>
      <c r="K13" s="3">
        <f>SUM(K8:K12)</f>
        <v/>
      </c>
      <c r="L13" s="3">
        <f>SUM(L8:L12)</f>
        <v/>
      </c>
      <c r="M13" s="3">
        <f>SUM(M8:M12)</f>
        <v/>
      </c>
      <c r="N13" s="3">
        <f>SUM(N8:N12)</f>
        <v/>
      </c>
      <c r="O13" s="3">
        <f>SUM(O8:O12)</f>
        <v/>
      </c>
      <c r="P13" s="3">
        <f>SUM(P8:P12)</f>
        <v/>
      </c>
      <c r="Q13" s="3">
        <f>SUM(Q8:Q12)</f>
        <v/>
      </c>
      <c r="R13" s="3">
        <f>SUM(R8:R12)</f>
        <v/>
      </c>
      <c r="S13" s="3">
        <f>SUM(S8:S12)</f>
        <v/>
      </c>
      <c r="T13" s="3">
        <f>SUM(T8:T12)</f>
        <v/>
      </c>
      <c r="U13" s="3">
        <f>SUM(U8:U12)</f>
        <v/>
      </c>
      <c r="V13" s="3">
        <f>SUM(V8:V12)</f>
        <v/>
      </c>
      <c r="W13" s="3">
        <f>SUM(W8:W12)</f>
        <v/>
      </c>
      <c r="X13" s="3">
        <f>SUM(X8:X12)</f>
        <v/>
      </c>
      <c r="Y13" s="3">
        <f>SUM(Y8:Y12)</f>
        <v/>
      </c>
    </row>
    <row r="14">
      <c r="A14" t="inlineStr">
        <is>
          <t>NET (pre-tax)</t>
        </is>
      </c>
      <c r="B14" s="3">
        <f>B6-B13</f>
        <v/>
      </c>
      <c r="C14" s="3">
        <f>C6-C13</f>
        <v/>
      </c>
      <c r="D14" s="3">
        <f>D6-D13</f>
        <v/>
      </c>
      <c r="E14" s="3">
        <f>E6-E13</f>
        <v/>
      </c>
      <c r="F14" s="3">
        <f>F6-F13</f>
        <v/>
      </c>
      <c r="G14" s="3">
        <f>G6-G13</f>
        <v/>
      </c>
      <c r="H14" s="3">
        <f>H6-H13</f>
        <v/>
      </c>
      <c r="I14" s="3">
        <f>I6-I13</f>
        <v/>
      </c>
      <c r="J14" s="3">
        <f>J6-J13</f>
        <v/>
      </c>
      <c r="K14" s="3">
        <f>K6-K13</f>
        <v/>
      </c>
      <c r="L14" s="3">
        <f>L6-L13</f>
        <v/>
      </c>
      <c r="M14" s="3">
        <f>M6-M13</f>
        <v/>
      </c>
      <c r="N14" s="3">
        <f>N6-N13</f>
        <v/>
      </c>
      <c r="O14" s="3">
        <f>O6-O13</f>
        <v/>
      </c>
      <c r="P14" s="3">
        <f>P6-P13</f>
        <v/>
      </c>
      <c r="Q14" s="3">
        <f>Q6-Q13</f>
        <v/>
      </c>
      <c r="R14" s="3">
        <f>R6-R13</f>
        <v/>
      </c>
      <c r="S14" s="3">
        <f>S6-S13</f>
        <v/>
      </c>
      <c r="T14" s="3">
        <f>T6-T13</f>
        <v/>
      </c>
      <c r="U14" s="3">
        <f>U6-U13</f>
        <v/>
      </c>
      <c r="V14" s="3">
        <f>V6-V13</f>
        <v/>
      </c>
      <c r="W14" s="3">
        <f>W6-W13</f>
        <v/>
      </c>
      <c r="X14" s="3">
        <f>X6-X13</f>
        <v/>
      </c>
      <c r="Y14" s="3">
        <f>Y6-Y13</f>
        <v/>
      </c>
    </row>
    <row r="15">
      <c r="A15" t="inlineStr">
        <is>
          <t>NET (post-tax)</t>
        </is>
      </c>
      <c r="B15" s="3">
        <f>ROUND(B14*(1-Assumptions!$C$20),0)</f>
        <v/>
      </c>
      <c r="C15" s="3">
        <f>ROUND(C14*(1-Assumptions!$C$20),0)</f>
        <v/>
      </c>
      <c r="D15" s="3">
        <f>ROUND(D14*(1-Assumptions!$C$20),0)</f>
        <v/>
      </c>
      <c r="E15" s="3">
        <f>ROUND(E14*(1-Assumptions!$C$20),0)</f>
        <v/>
      </c>
      <c r="F15" s="3">
        <f>ROUND(F14*(1-Assumptions!$C$20),0)</f>
        <v/>
      </c>
      <c r="G15" s="3">
        <f>ROUND(G14*(1-Assumptions!$C$20),0)</f>
        <v/>
      </c>
      <c r="H15" s="3">
        <f>ROUND(H14*(1-Assumptions!$C$20),0)</f>
        <v/>
      </c>
      <c r="I15" s="3">
        <f>ROUND(I14*(1-Assumptions!$C$20),0)</f>
        <v/>
      </c>
      <c r="J15" s="3">
        <f>ROUND(J14*(1-Assumptions!$C$20),0)</f>
        <v/>
      </c>
      <c r="K15" s="3">
        <f>ROUND(K14*(1-Assumptions!$C$20),0)</f>
        <v/>
      </c>
      <c r="L15" s="3">
        <f>ROUND(L14*(1-Assumptions!$C$20),0)</f>
        <v/>
      </c>
      <c r="M15" s="3">
        <f>ROUND(M14*(1-Assumptions!$C$20),0)</f>
        <v/>
      </c>
      <c r="N15" s="3">
        <f>ROUND(N14*(1-Assumptions!$C$20),0)</f>
        <v/>
      </c>
      <c r="O15" s="3">
        <f>ROUND(O14*(1-Assumptions!$C$20),0)</f>
        <v/>
      </c>
      <c r="P15" s="3">
        <f>ROUND(P14*(1-Assumptions!$C$20),0)</f>
        <v/>
      </c>
      <c r="Q15" s="3">
        <f>ROUND(Q14*(1-Assumptions!$C$20),0)</f>
        <v/>
      </c>
      <c r="R15" s="3">
        <f>ROUND(R14*(1-Assumptions!$C$20),0)</f>
        <v/>
      </c>
      <c r="S15" s="3">
        <f>ROUND(S14*(1-Assumptions!$C$20),0)</f>
        <v/>
      </c>
      <c r="T15" s="3">
        <f>ROUND(T14*(1-Assumptions!$C$20),0)</f>
        <v/>
      </c>
      <c r="U15" s="3">
        <f>ROUND(U14*(1-Assumptions!$C$20),0)</f>
        <v/>
      </c>
      <c r="V15" s="3">
        <f>ROUND(V14*(1-Assumptions!$C$20),0)</f>
        <v/>
      </c>
      <c r="W15" s="3">
        <f>ROUND(W14*(1-Assumptions!$C$20),0)</f>
        <v/>
      </c>
      <c r="X15" s="3">
        <f>ROUND(X14*(1-Assumptions!$C$20),0)</f>
        <v/>
      </c>
      <c r="Y15" s="3">
        <f>ROUND(Y14*(1-Assumptions!$C$20),0)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</cols>
  <sheetData>
    <row r="1">
      <c r="A1" s="4" t="inlineStr">
        <is>
          <t>ENI ENTERPRISE — PROFORMA ASSUMPTIONS  (edit the YELLOW cells; every other cell is a live formula)</t>
        </is>
      </c>
    </row>
    <row r="2">
      <c r="A2" s="2" t="inlineStr">
        <is>
          <t>Item</t>
        </is>
      </c>
      <c r="B2" s="2" t="inlineStr">
        <is>
          <t>key</t>
        </is>
      </c>
      <c r="C2" s="2" t="inlineStr">
        <is>
          <t>value</t>
        </is>
      </c>
    </row>
    <row r="4">
      <c r="A4" s="5" t="inlineStr">
        <is>
          <t>Team license ARR, low</t>
        </is>
      </c>
      <c r="B4" s="5" t="inlineStr">
        <is>
          <t>team_annual_low</t>
        </is>
      </c>
      <c r="C4" s="6" t="n">
        <v>12000</v>
      </c>
    </row>
    <row r="5">
      <c r="A5" s="5" t="inlineStr">
        <is>
          <t>Team license ARR, high</t>
        </is>
      </c>
      <c r="B5" s="5" t="inlineStr">
        <is>
          <t>team_annual_high</t>
        </is>
      </c>
      <c r="C5" s="6" t="n">
        <v>25000</v>
      </c>
    </row>
    <row r="6">
      <c r="A6" s="5" t="inlineStr">
        <is>
          <t>Hosted SaaS per builder/mo</t>
        </is>
      </c>
      <c r="B6" s="5" t="inlineStr">
        <is>
          <t>saas_builder_mo</t>
        </is>
      </c>
      <c r="C6" s="6" t="n">
        <v>10</v>
      </c>
    </row>
    <row r="7">
      <c r="A7" s="5" t="inlineStr">
        <is>
          <t>White-label margin %</t>
        </is>
      </c>
      <c r="B7" s="5" t="inlineStr">
        <is>
          <t>white_margin</t>
        </is>
      </c>
      <c r="C7" s="7" t="n">
        <v>0.4</v>
      </c>
    </row>
    <row r="8">
      <c r="A8" s="5" t="inlineStr">
        <is>
          <t>Y1 avg co-build clients</t>
        </is>
      </c>
      <c r="B8" s="5" t="inlineStr">
        <is>
          <t>y1_clients</t>
        </is>
      </c>
      <c r="C8" s="6" t="n">
        <v>2</v>
      </c>
    </row>
    <row r="9">
      <c r="A9" s="5" t="inlineStr">
        <is>
          <t>Y1 avg $/client/yr</t>
        </is>
      </c>
      <c r="B9" s="5" t="inlineStr">
        <is>
          <t>y1_arpu</t>
        </is>
      </c>
      <c r="C9" s="6" t="n">
        <v>15000</v>
      </c>
    </row>
    <row r="10">
      <c r="A10" s="5" t="inlineStr">
        <is>
          <t>Y1 hosted builders (avg)</t>
        </is>
      </c>
      <c r="B10" s="5" t="inlineStr">
        <is>
          <t>y1_builders</t>
        </is>
      </c>
      <c r="C10" s="8" t="n">
        <v>8</v>
      </c>
    </row>
    <row r="11">
      <c r="A11" s="5" t="inlineStr">
        <is>
          <t>Y2 avg co-build clients</t>
        </is>
      </c>
      <c r="B11" s="5" t="inlineStr">
        <is>
          <t>y2_clients</t>
        </is>
      </c>
      <c r="C11" s="6" t="n">
        <v>5</v>
      </c>
    </row>
    <row r="12">
      <c r="A12" s="5" t="inlineStr">
        <is>
          <t>Y2 avg $/client/yr</t>
        </is>
      </c>
      <c r="B12" s="5" t="inlineStr">
        <is>
          <t>y2_arpu</t>
        </is>
      </c>
      <c r="C12" s="6" t="n">
        <v>16000</v>
      </c>
    </row>
    <row r="13">
      <c r="A13" s="5" t="inlineStr">
        <is>
          <t>Y2 hosted builders (avg)</t>
        </is>
      </c>
      <c r="B13" s="5" t="inlineStr">
        <is>
          <t>y2_builders</t>
        </is>
      </c>
      <c r="C13" s="8" t="n">
        <v>20</v>
      </c>
    </row>
    <row r="14">
      <c r="A14" s="5" t="inlineStr">
        <is>
          <t>White-label $/session</t>
        </is>
      </c>
      <c r="B14" s="5" t="inlineStr">
        <is>
          <t>white_per_session</t>
        </is>
      </c>
      <c r="C14" s="6" t="n">
        <v>1500</v>
      </c>
    </row>
    <row r="15">
      <c r="A15" s="5" t="inlineStr">
        <is>
          <t>Model/API + GPU /month</t>
        </is>
      </c>
      <c r="B15" s="5" t="inlineStr">
        <is>
          <t>cost_model</t>
        </is>
      </c>
      <c r="C15" s="6" t="n">
        <v>800</v>
      </c>
    </row>
    <row r="16">
      <c r="A16" s="5" t="inlineStr">
        <is>
          <t>Founder draw /month</t>
        </is>
      </c>
      <c r="B16" s="5" t="inlineStr">
        <is>
          <t>salary</t>
        </is>
      </c>
      <c r="C16" s="6" t="n">
        <v>4000</v>
      </c>
    </row>
    <row r="17">
      <c r="A17" s="5" t="inlineStr">
        <is>
          <t>Infra /month</t>
        </is>
      </c>
      <c r="B17" s="5" t="inlineStr">
        <is>
          <t>infra</t>
        </is>
      </c>
      <c r="C17" s="6" t="n">
        <v>300</v>
      </c>
    </row>
    <row r="18">
      <c r="A18" s="5" t="inlineStr">
        <is>
          <t>Mktg &amp; sales /month</t>
        </is>
      </c>
      <c r="B18" s="5" t="inlineStr">
        <is>
          <t>mktg</t>
        </is>
      </c>
      <c r="C18" s="6" t="n">
        <v>1000</v>
      </c>
    </row>
    <row r="19">
      <c r="A19" s="5" t="inlineStr">
        <is>
          <t>Legal/acctg /month (amort)</t>
        </is>
      </c>
      <c r="B19" s="5" t="inlineStr">
        <is>
          <t>legal</t>
        </is>
      </c>
      <c r="C19" s="6" t="n">
        <v>400</v>
      </c>
    </row>
    <row r="20">
      <c r="A20" s="5" t="inlineStr">
        <is>
          <t>Tax rate</t>
        </is>
      </c>
      <c r="B20" s="5" t="inlineStr">
        <is>
          <t>tax_rate</t>
        </is>
      </c>
      <c r="C20" s="7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YEARLY SUMMARY</t>
        </is>
      </c>
    </row>
    <row r="2">
      <c r="A2" s="2" t="inlineStr">
        <is>
          <t>Year</t>
        </is>
      </c>
      <c r="B2" s="2" t="inlineStr">
        <is>
          <t>Revenue</t>
        </is>
      </c>
      <c r="C2" s="2" t="inlineStr">
        <is>
          <t>Costs</t>
        </is>
      </c>
      <c r="D2" s="2" t="inlineStr">
        <is>
          <t>Net (pre)</t>
        </is>
      </c>
      <c r="E2" s="2" t="inlineStr">
        <is>
          <t>Net (post)</t>
        </is>
      </c>
    </row>
    <row r="3">
      <c r="A3" t="inlineStr">
        <is>
          <t>Year 1</t>
        </is>
      </c>
      <c r="B3" s="9">
        <f>C6+D6+E6+F6+G6+H6+I6+J6+K6+L6+M6+N6</f>
        <v/>
      </c>
      <c r="C3" s="9">
        <f>C13+D13+E13+F13+G13+H13+I13+J13+K13+L13+M13+N13</f>
        <v/>
      </c>
      <c r="D3" s="9">
        <f>C14+D14+E14+F14+G14+H14+I14+J14+K14+L14+M14+N14</f>
        <v/>
      </c>
      <c r="E3" s="9">
        <f>C15+D15+E15+F15+G15+H15+I15+J15+K15+L15+M15+N15</f>
        <v/>
      </c>
    </row>
    <row r="4">
      <c r="A4" t="inlineStr">
        <is>
          <t>Year 2</t>
        </is>
      </c>
      <c r="B4" s="9">
        <f>O6+P6+Q6+R6+S6+T6+U6+V6+W6+X6+Y6+Z6</f>
        <v/>
      </c>
      <c r="C4" s="9">
        <f>O13+P13+Q13+R13+S13+T13+U13+V13+W13+X13+Y13+Z13</f>
        <v/>
      </c>
      <c r="D4" s="9">
        <f>O14+P14+Q14+R14+S14+T14+U14+V14+W14+X14+Y14+Z14</f>
        <v/>
      </c>
      <c r="E4" s="9">
        <f>O15+P15+Q15+R15+S15+T15+U15+V15+W15+X15+Y15+Z15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2026-08-16T22:04:43Z</dcterms:created>
  <dcterms:modified xsi:type="dcterms:W3CDTF">2026-08-16T22:04:43Z</dcterms:modified>
</cp:coreProperties>
</file>